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ange0-my.sharepoint.com/personal/francois_priour_orange_com/Documents/Bureau/bench_viz_092026/"/>
    </mc:Choice>
  </mc:AlternateContent>
  <xr:revisionPtr revIDLastSave="96" documentId="8_{1AC23FCE-57E8-4A9A-BF04-532B2B03651A}" xr6:coauthVersionLast="47" xr6:coauthVersionMax="47" xr10:uidLastSave="{829F886A-2514-4CBC-A057-71400DB6CBD6}"/>
  <bookViews>
    <workbookView xWindow="-108" yWindow="-108" windowWidth="23256" windowHeight="13896" xr2:uid="{9B9D9D1F-9D5F-4A57-92BC-E7511312A836}"/>
  </bookViews>
  <sheets>
    <sheet name="data" sheetId="9" r:id="rId1"/>
  </sheets>
  <externalReferences>
    <externalReference r:id="rId2"/>
  </externalReferences>
  <definedNames>
    <definedName name="Current_quarter">#REF!</definedName>
    <definedName name="quarter_Q_1">#REF!</definedName>
    <definedName name="quarter_Q_2">#REF!</definedName>
    <definedName name="quarter_Q_3">#REF!</definedName>
    <definedName name="quarter_Q_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7" i="9" l="1"/>
  <c r="M58" i="9"/>
  <c r="M59" i="9"/>
  <c r="M60" i="9"/>
  <c r="J56" i="9"/>
  <c r="K56" i="9"/>
  <c r="L56" i="9"/>
  <c r="M56" i="9"/>
  <c r="J46" i="9"/>
  <c r="K46" i="9"/>
  <c r="L46" i="9"/>
  <c r="M46" i="9"/>
  <c r="J44" i="9"/>
  <c r="K44" i="9"/>
  <c r="L44" i="9"/>
  <c r="M44" i="9"/>
  <c r="J16" i="9"/>
  <c r="K16" i="9"/>
  <c r="L16" i="9"/>
  <c r="M16" i="9"/>
</calcChain>
</file>

<file path=xl/sharedStrings.xml><?xml version="1.0" encoding="utf-8"?>
<sst xmlns="http://schemas.openxmlformats.org/spreadsheetml/2006/main" count="249" uniqueCount="34">
  <si>
    <t>Europe</t>
  </si>
  <si>
    <t>QTD</t>
  </si>
  <si>
    <t>12M</t>
  </si>
  <si>
    <t>maturity</t>
  </si>
  <si>
    <t>YoY organic revenue growth</t>
  </si>
  <si>
    <t>2Q24</t>
  </si>
  <si>
    <t>3Q24</t>
  </si>
  <si>
    <t>4Q24</t>
  </si>
  <si>
    <t>1Q25</t>
  </si>
  <si>
    <t>2Q25</t>
  </si>
  <si>
    <t>DT</t>
  </si>
  <si>
    <t>Group</t>
  </si>
  <si>
    <t>VOD</t>
  </si>
  <si>
    <t>TEF</t>
  </si>
  <si>
    <t>ORA</t>
  </si>
  <si>
    <t>BT</t>
  </si>
  <si>
    <t>TIM</t>
  </si>
  <si>
    <t>Iliad</t>
  </si>
  <si>
    <t>Digi</t>
  </si>
  <si>
    <t>KPN</t>
  </si>
  <si>
    <t>TI</t>
  </si>
  <si>
    <t>Elisa</t>
  </si>
  <si>
    <t>non Europe</t>
  </si>
  <si>
    <t>YoY organic Service revenue growth</t>
  </si>
  <si>
    <t>operator</t>
  </si>
  <si>
    <t>scope</t>
  </si>
  <si>
    <t>kpi</t>
  </si>
  <si>
    <t>EBITDAaL rate</t>
  </si>
  <si>
    <t>capex / revenue</t>
  </si>
  <si>
    <t>operating cash flow / revenue</t>
  </si>
  <si>
    <t>3Q25</t>
  </si>
  <si>
    <t>4Q25</t>
  </si>
  <si>
    <t>1Q26</t>
  </si>
  <si>
    <t>2Q26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</si>
</sst>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+0.0%;\-0.0%;&quot;&quot;"/>
    <numFmt numFmtId="166" formatCode="\+0.0%;\-0.0%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164" fontId="3" fillId="2" borderId="1" xfId="1" applyNumberFormat="1" applyFont="1" applyFill="1" applyBorder="1" applyAlignment="1">
      <alignment horizontal="center"/>
    </xf>
    <xf numFmtId="165" fontId="3" fillId="2" borderId="1" xfId="1" applyNumberFormat="1" applyFont="1" applyFill="1" applyBorder="1" applyAlignment="1">
      <alignment horizontal="center"/>
    </xf>
    <xf numFmtId="165" fontId="3" fillId="3" borderId="1" xfId="1" applyNumberFormat="1" applyFont="1" applyFill="1" applyBorder="1" applyAlignment="1">
      <alignment horizontal="center"/>
    </xf>
    <xf numFmtId="166" fontId="3" fillId="2" borderId="1" xfId="1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164" fontId="6" fillId="2" borderId="1" xfId="1" applyNumberFormat="1" applyFont="1" applyFill="1" applyBorder="1" applyAlignment="1">
      <alignment horizontal="center"/>
    </xf>
    <xf numFmtId="165" fontId="3" fillId="4" borderId="1" xfId="1" applyNumberFormat="1" applyFont="1" applyFill="1" applyBorder="1" applyAlignment="1">
      <alignment horizontal="center"/>
    </xf>
    <xf numFmtId="164" fontId="3" fillId="5" borderId="1" xfId="1" applyNumberFormat="1" applyFont="1" applyFill="1" applyBorder="1" applyAlignment="1">
      <alignment horizontal="center"/>
    </xf>
    <xf numFmtId="164" fontId="6" fillId="5" borderId="1" xfId="1" applyNumberFormat="1" applyFont="1" applyFill="1" applyBorder="1" applyAlignment="1">
      <alignment horizontal="center"/>
    </xf>
    <xf numFmtId="164" fontId="6" fillId="4" borderId="1" xfId="1" applyNumberFormat="1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range0.sharepoint.com/sites/Controle_Gestion_Central_Groupe/Documents%20partages/03.%20BENCHMARK/01.%20Global/extbench_ComexHighlight_graphs.xlsx" TargetMode="External"/><Relationship Id="rId1" Type="http://schemas.openxmlformats.org/officeDocument/2006/relationships/externalLinkPath" Target="https://orange0.sharepoint.com/sites/Controle_Gestion_Central_Groupe/Documents%20partages/03.%20BENCHMARK/01.%20Global/extbench_ComexHighlight_graph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"/>
      <sheetName val="PARAM"/>
      <sheetName val="VALUE_MS"/>
      <sheetName val="TOP13"/>
      <sheetName val="SERVICEREV"/>
      <sheetName val="Equipment REV"/>
      <sheetName val="ORGAREV"/>
      <sheetName val="MEA"/>
      <sheetName val="NETADDS-M-POST"/>
      <sheetName val="NETADDS-M-PRE"/>
      <sheetName val="NETADDS-BB"/>
      <sheetName val="NETADDS-CONV"/>
      <sheetName val="FIBER new source (2)"/>
      <sheetName val="FIBER new source"/>
      <sheetName val="Feuil4"/>
      <sheetName val="FIBER new source (4)"/>
      <sheetName val="FIBER new source (5)"/>
      <sheetName val="FIBER new source (6)"/>
      <sheetName val="OPEXaL"/>
      <sheetName val="OPEXaL EUROPE"/>
      <sheetName val="PROFITA EUROPE"/>
      <sheetName val="MEA PROFITA"/>
      <sheetName val="CAPEX"/>
      <sheetName val="PROFITA"/>
      <sheetName val="vs"/>
      <sheetName val="DTvsORA"/>
      <sheetName val="PROFITA EUROPE (hist)"/>
      <sheetName val="CAPEX Europe"/>
      <sheetName val="OPCF spainQ1"/>
      <sheetName val="Feuil5"/>
      <sheetName val="Feuil6"/>
      <sheetName val="Feuil7"/>
      <sheetName val="OPCF"/>
      <sheetName val="DOMESTIC"/>
      <sheetName val="NOT CORE"/>
      <sheetName val="Feuil10"/>
      <sheetName val="Feuil11"/>
      <sheetName val="Feuil8"/>
      <sheetName val="Feuil9"/>
      <sheetName val="FRANCE"/>
      <sheetName val="Zoom CAPEX"/>
      <sheetName val="CAPEX SOURCE"/>
      <sheetName val="Europe Bubbles"/>
      <sheetName val="COSTCTRL"/>
      <sheetName val="REVENUE-5"/>
      <sheetName val="EBITDA-5"/>
      <sheetName val="CAPEX-5"/>
      <sheetName val="CAPEX-5 YTD"/>
      <sheetName val="OPCF-5"/>
      <sheetName val="NETADDS-M-GLO"/>
      <sheetName val="PROFITA Q119 ORA ORG"/>
      <sheetName val="Europe Definitions"/>
      <sheetName val="Feuil1"/>
      <sheetName val="Feuil2"/>
      <sheetName val="PROFITA Q119"/>
      <sheetName val="Feuil3"/>
      <sheetName val="FIBER new source (3)"/>
      <sheetName val="Feuil12"/>
      <sheetName val="Feuil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9">
          <cell r="M29">
            <v>2.4E-2</v>
          </cell>
          <cell r="N29">
            <v>2.7E-2</v>
          </cell>
          <cell r="O29">
            <v>2.1000000000000001E-2</v>
          </cell>
          <cell r="P29">
            <v>-5.0000000000000001E-3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9">
          <cell r="E29">
            <v>0.16061552264788603</v>
          </cell>
          <cell r="F29">
            <v>0.15366870812673247</v>
          </cell>
          <cell r="G29">
            <v>0.1549206956645377</v>
          </cell>
          <cell r="H29">
            <v>0.15345450351512344</v>
          </cell>
        </row>
        <row r="31">
          <cell r="E31">
            <v>0.14273108316788</v>
          </cell>
          <cell r="F31">
            <v>0.13856123489151012</v>
          </cell>
          <cell r="G31">
            <v>0.13513317367007766</v>
          </cell>
          <cell r="H31">
            <v>0.13832605427078112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34">
          <cell r="E34">
            <v>0.12228840355908523</v>
          </cell>
          <cell r="F34">
            <v>0.13004223095966216</v>
          </cell>
          <cell r="G34">
            <v>0.13106901807097757</v>
          </cell>
          <cell r="H34">
            <v>0.12987756855444976</v>
          </cell>
        </row>
        <row r="35">
          <cell r="H35">
            <v>0.23863247863247863</v>
          </cell>
        </row>
        <row r="36">
          <cell r="H36">
            <v>0.22600000000000001</v>
          </cell>
        </row>
        <row r="37">
          <cell r="H37">
            <v>-4.871748527624975E-2</v>
          </cell>
        </row>
        <row r="38">
          <cell r="H38">
            <v>0.2208878213682057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1693-B53D-4801-A293-4EFC2EC48FAC}">
  <dimension ref="A1:M60"/>
  <sheetViews>
    <sheetView tabSelected="1" topLeftCell="D1" zoomScale="80" zoomScaleNormal="80" workbookViewId="0">
      <selection activeCell="S20" sqref="S20"/>
    </sheetView>
  </sheetViews>
  <sheetFormatPr baseColWidth="10" defaultRowHeight="14.4" x14ac:dyDescent="0.3"/>
  <cols>
    <col min="1" max="1" width="41.109375" customWidth="1"/>
  </cols>
  <sheetData>
    <row r="1" spans="1:13" x14ac:dyDescent="0.3">
      <c r="A1" s="1" t="s">
        <v>26</v>
      </c>
      <c r="B1" s="1" t="s">
        <v>24</v>
      </c>
      <c r="C1" s="1" t="s">
        <v>25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 x14ac:dyDescent="0.3">
      <c r="A2" t="s">
        <v>4</v>
      </c>
      <c r="B2" s="2" t="s">
        <v>10</v>
      </c>
      <c r="C2" s="3" t="s">
        <v>11</v>
      </c>
      <c r="D2" s="3" t="s">
        <v>1</v>
      </c>
      <c r="E2" s="4">
        <v>3.4013760827862338E-2</v>
      </c>
      <c r="F2" s="4">
        <v>3.699908680023789E-2</v>
      </c>
      <c r="G2" s="4">
        <v>4.4132106899784196E-2</v>
      </c>
      <c r="H2" s="4">
        <v>3.8000000000000034E-2</v>
      </c>
      <c r="I2" s="4">
        <v>4.003984770915392E-2</v>
      </c>
      <c r="J2" s="14">
        <v>3.2984948600771835E-2</v>
      </c>
      <c r="K2" s="14">
        <v>5.6023265361518471E-2</v>
      </c>
      <c r="L2" s="14">
        <v>4.6999999999999931E-2</v>
      </c>
      <c r="M2" s="14">
        <v>3.3107419992322695E-2</v>
      </c>
    </row>
    <row r="3" spans="1:13" x14ac:dyDescent="0.3">
      <c r="A3" t="s">
        <v>4</v>
      </c>
      <c r="B3" s="2" t="s">
        <v>12</v>
      </c>
      <c r="C3" s="3" t="s">
        <v>11</v>
      </c>
      <c r="D3" s="3" t="s">
        <v>1</v>
      </c>
      <c r="E3" s="4">
        <v>4.8000000000000001E-2</v>
      </c>
      <c r="F3" s="4">
        <v>4.5999999999999999E-2</v>
      </c>
      <c r="G3" s="4">
        <v>4.1000000000000009E-2</v>
      </c>
      <c r="H3" s="4">
        <v>2.8000000000000004E-2</v>
      </c>
      <c r="I3" s="4">
        <v>4.1000000000000009E-2</v>
      </c>
      <c r="J3" s="4">
        <v>4.5999999999999999E-2</v>
      </c>
      <c r="K3" s="4">
        <v>0.03</v>
      </c>
      <c r="L3" s="4">
        <v>0.03</v>
      </c>
      <c r="M3" s="4">
        <v>4.2999999999999997E-2</v>
      </c>
    </row>
    <row r="4" spans="1:13" x14ac:dyDescent="0.3">
      <c r="A4" t="s">
        <v>4</v>
      </c>
      <c r="B4" s="2" t="s">
        <v>13</v>
      </c>
      <c r="C4" s="3" t="s">
        <v>11</v>
      </c>
      <c r="D4" s="3" t="s">
        <v>1</v>
      </c>
      <c r="E4" s="4">
        <v>1.6630496706741216E-2</v>
      </c>
      <c r="F4" s="4">
        <v>1.0847984764563501E-2</v>
      </c>
      <c r="G4" s="4">
        <v>-1.2837796032987292E-3</v>
      </c>
      <c r="H4" s="4">
        <v>1.1909030560045775E-2</v>
      </c>
      <c r="I4" s="4">
        <v>1.6E-2</v>
      </c>
      <c r="J4" s="4">
        <v>4.4386107423408597E-3</v>
      </c>
      <c r="K4" s="4">
        <v>1.2999999999999999E-2</v>
      </c>
      <c r="L4" s="4">
        <v>7.7463197470624134E-3</v>
      </c>
      <c r="M4" s="4">
        <v>0</v>
      </c>
    </row>
    <row r="5" spans="1:13" x14ac:dyDescent="0.3">
      <c r="A5" t="s">
        <v>4</v>
      </c>
      <c r="B5" s="2" t="s">
        <v>14</v>
      </c>
      <c r="C5" s="3" t="s">
        <v>11</v>
      </c>
      <c r="D5" s="3" t="s">
        <v>1</v>
      </c>
      <c r="E5" s="4">
        <v>0</v>
      </c>
      <c r="F5" s="4">
        <v>1.5508764418698417E-2</v>
      </c>
      <c r="G5" s="4">
        <v>4.6654414504740949E-3</v>
      </c>
      <c r="H5" s="4">
        <v>6.2707988396113468E-3</v>
      </c>
      <c r="I5" s="4">
        <v>5.1138289544194748E-4</v>
      </c>
      <c r="J5" s="4">
        <v>8.4161947829255457E-3</v>
      </c>
      <c r="K5" s="4">
        <v>2.1665092365968475E-2</v>
      </c>
      <c r="L5" s="4">
        <v>3.4836996908484963E-2</v>
      </c>
      <c r="M5" s="4">
        <v>3.4791204766210004E-2</v>
      </c>
    </row>
    <row r="6" spans="1:13" x14ac:dyDescent="0.3">
      <c r="A6" t="s">
        <v>4</v>
      </c>
      <c r="B6" s="2" t="s">
        <v>15</v>
      </c>
      <c r="C6" s="3" t="s">
        <v>11</v>
      </c>
      <c r="D6" s="3" t="s">
        <v>1</v>
      </c>
      <c r="E6" s="4">
        <v>-2.1688613477924057E-2</v>
      </c>
      <c r="F6" s="4">
        <v>-3.1238095238095287E-2</v>
      </c>
      <c r="G6" s="4">
        <v>-3.0127245508982048E-2</v>
      </c>
      <c r="H6" s="4">
        <v>-5.515067953515862E-3</v>
      </c>
      <c r="I6" s="4">
        <v>-3.4243863816310394E-2</v>
      </c>
      <c r="J6" s="4">
        <v>-2.7008928571428559E-2</v>
      </c>
      <c r="K6" s="4">
        <v>-2.6660839160839167E-2</v>
      </c>
      <c r="L6" s="4">
        <v>1.370801919122755E-3</v>
      </c>
      <c r="M6" s="4">
        <v>-3.4586119437398644E-3</v>
      </c>
    </row>
    <row r="7" spans="1:13" x14ac:dyDescent="0.3">
      <c r="A7" t="s">
        <v>4</v>
      </c>
      <c r="B7" s="2" t="s">
        <v>16</v>
      </c>
      <c r="C7" s="3" t="s">
        <v>11</v>
      </c>
      <c r="D7" s="3" t="s">
        <v>1</v>
      </c>
      <c r="E7" s="4">
        <v>4.2000000000000003E-2</v>
      </c>
      <c r="F7" s="4">
        <v>3.2000000000000001E-2</v>
      </c>
      <c r="G7" s="4">
        <v>2.1000000000000001E-2</v>
      </c>
      <c r="H7" s="4">
        <v>2.7E-2</v>
      </c>
      <c r="I7" s="4">
        <v>2.5999999999999999E-2</v>
      </c>
      <c r="J7" s="4">
        <v>1.62406015037595E-2</v>
      </c>
      <c r="K7" s="4">
        <v>3.8982582250483899E-2</v>
      </c>
      <c r="L7" s="4">
        <v>1.3736263736263687E-2</v>
      </c>
      <c r="M7" s="4">
        <v>2.662375658279692E-2</v>
      </c>
    </row>
    <row r="8" spans="1:13" x14ac:dyDescent="0.3">
      <c r="A8" t="s">
        <v>4</v>
      </c>
      <c r="B8" s="2" t="s">
        <v>10</v>
      </c>
      <c r="C8" s="3" t="s">
        <v>0</v>
      </c>
      <c r="D8" s="3" t="s">
        <v>1</v>
      </c>
      <c r="E8" s="5">
        <v>4.5933701199021071E-2</v>
      </c>
      <c r="F8" s="5">
        <v>3.0384792381153769E-2</v>
      </c>
      <c r="G8" s="5">
        <v>1.2640752850433312E-2</v>
      </c>
      <c r="H8" s="5">
        <v>3.2385137519450602E-3</v>
      </c>
      <c r="I8" s="5">
        <v>-2.0072256797635246E-3</v>
      </c>
      <c r="J8" s="4">
        <v>-7.7195462329382458E-3</v>
      </c>
      <c r="K8" s="4">
        <v>2.7795473965458006E-2</v>
      </c>
      <c r="L8" s="4">
        <v>1.9961648969301304E-2</v>
      </c>
      <c r="M8" s="4">
        <v>2.6790050521084074E-2</v>
      </c>
    </row>
    <row r="9" spans="1:13" x14ac:dyDescent="0.3">
      <c r="A9" t="s">
        <v>4</v>
      </c>
      <c r="B9" s="2" t="s">
        <v>12</v>
      </c>
      <c r="C9" s="3" t="s">
        <v>0</v>
      </c>
      <c r="D9" s="3" t="s">
        <v>1</v>
      </c>
      <c r="E9" s="5">
        <v>-3.0000000000000001E-3</v>
      </c>
      <c r="F9" s="5">
        <v>-1.7000000000000001E-2</v>
      </c>
      <c r="G9" s="5">
        <v>-2.6000000000000002E-2</v>
      </c>
      <c r="H9" s="5">
        <v>-3.2000000000000001E-2</v>
      </c>
      <c r="I9" s="5">
        <v>-2.1000000000000001E-2</v>
      </c>
      <c r="J9" s="4">
        <v>-7.000000000000001E-3</v>
      </c>
      <c r="K9" s="4">
        <v>-1.9E-2</v>
      </c>
      <c r="L9" s="4">
        <v>-1.7000000000000001E-2</v>
      </c>
      <c r="M9" s="4">
        <v>3.0000000000000001E-3</v>
      </c>
    </row>
    <row r="10" spans="1:13" x14ac:dyDescent="0.3">
      <c r="A10" t="s">
        <v>4</v>
      </c>
      <c r="B10" s="2" t="s">
        <v>13</v>
      </c>
      <c r="C10" s="3" t="s">
        <v>0</v>
      </c>
      <c r="D10" s="3" t="s">
        <v>1</v>
      </c>
      <c r="E10" s="5">
        <v>5.969453191843721E-3</v>
      </c>
      <c r="F10" s="5">
        <v>-4.9181373193107891E-4</v>
      </c>
      <c r="G10" s="5">
        <v>-7.4088538827931094E-3</v>
      </c>
      <c r="H10" s="5">
        <v>2.1179392059715862E-3</v>
      </c>
      <c r="I10" s="5">
        <v>1.5281271078015912E-3</v>
      </c>
      <c r="J10" s="4">
        <v>-1.6514363097643647E-2</v>
      </c>
      <c r="K10" s="4">
        <v>-5.3916609729218745E-3</v>
      </c>
      <c r="L10" s="4">
        <v>-2.1639588702960344E-2</v>
      </c>
      <c r="M10" s="4">
        <v>-2.53073590546955E-2</v>
      </c>
    </row>
    <row r="11" spans="1:13" x14ac:dyDescent="0.3">
      <c r="A11" t="s">
        <v>4</v>
      </c>
      <c r="B11" s="2" t="s">
        <v>14</v>
      </c>
      <c r="C11" s="3" t="s">
        <v>0</v>
      </c>
      <c r="D11" s="3" t="s">
        <v>1</v>
      </c>
      <c r="E11" s="5">
        <v>-8.9999999999999993E-3</v>
      </c>
      <c r="F11" s="5">
        <v>-1.3315390911293745E-3</v>
      </c>
      <c r="G11" s="5">
        <v>-1.8182162556727999E-2</v>
      </c>
      <c r="H11" s="5">
        <v>-1.4749005442339924E-2</v>
      </c>
      <c r="I11" s="5">
        <v>-2.7736843668664357E-2</v>
      </c>
      <c r="J11" s="4">
        <v>-1.9863578442967267E-2</v>
      </c>
      <c r="K11" s="4">
        <v>2.2440257850184775E-3</v>
      </c>
      <c r="L11" s="4">
        <v>1.2847212866365476E-2</v>
      </c>
      <c r="M11" s="4">
        <v>7.560334193611018E-3</v>
      </c>
    </row>
    <row r="12" spans="1:13" x14ac:dyDescent="0.3">
      <c r="A12" t="s">
        <v>4</v>
      </c>
      <c r="B12" s="2" t="s">
        <v>15</v>
      </c>
      <c r="C12" s="3" t="s">
        <v>0</v>
      </c>
      <c r="D12" s="3" t="s">
        <v>1</v>
      </c>
      <c r="E12" s="5">
        <v>-2.1688613477924057E-2</v>
      </c>
      <c r="F12" s="5">
        <v>-3.1238095238095287E-2</v>
      </c>
      <c r="G12" s="5">
        <v>-3.0127245508982048E-2</v>
      </c>
      <c r="H12" s="5">
        <v>-5.515067953515862E-3</v>
      </c>
      <c r="I12" s="5">
        <v>-3.4243863816310394E-2</v>
      </c>
      <c r="J12" s="4">
        <v>-2.7008928571428559E-2</v>
      </c>
      <c r="K12" s="4">
        <v>-2.6660839160839167E-2</v>
      </c>
      <c r="L12" s="4">
        <v>1.370801919122755E-3</v>
      </c>
      <c r="M12" s="4">
        <v>-3.4586119437398644E-3</v>
      </c>
    </row>
    <row r="13" spans="1:13" x14ac:dyDescent="0.3">
      <c r="A13" t="s">
        <v>4</v>
      </c>
      <c r="B13" s="2" t="s">
        <v>16</v>
      </c>
      <c r="C13" s="3" t="s">
        <v>0</v>
      </c>
      <c r="D13" s="3" t="s">
        <v>1</v>
      </c>
      <c r="E13" s="5">
        <v>2.7000000000000003E-2</v>
      </c>
      <c r="F13" s="5">
        <v>2.1000000000000001E-2</v>
      </c>
      <c r="G13" s="5">
        <v>8.0000000000000002E-3</v>
      </c>
      <c r="H13" s="5">
        <v>1.6E-2</v>
      </c>
      <c r="I13" s="5">
        <v>1.6E-2</v>
      </c>
      <c r="J13" s="4">
        <v>2.579535683576939E-3</v>
      </c>
      <c r="K13" s="4">
        <v>3.6979369404437579E-2</v>
      </c>
      <c r="L13" s="4">
        <v>-9.3541202672605683E-3</v>
      </c>
      <c r="M13" s="4">
        <v>1.2163336229365829E-2</v>
      </c>
    </row>
    <row r="14" spans="1:13" x14ac:dyDescent="0.3">
      <c r="A14" t="s">
        <v>4</v>
      </c>
      <c r="B14" s="2" t="s">
        <v>17</v>
      </c>
      <c r="C14" s="3" t="s">
        <v>0</v>
      </c>
      <c r="D14" s="3" t="s">
        <v>1</v>
      </c>
      <c r="E14" s="5">
        <v>9.4E-2</v>
      </c>
      <c r="F14" s="5">
        <v>9.0999999999999998E-2</v>
      </c>
      <c r="G14" s="5">
        <v>0.08</v>
      </c>
      <c r="H14" s="5">
        <v>7.1999999999999995E-2</v>
      </c>
      <c r="I14" s="10">
        <v>3.6999999999999998E-2</v>
      </c>
      <c r="J14" s="4">
        <v>3.6999999999999998E-2</v>
      </c>
      <c r="K14" s="4">
        <v>3.5000000000000003E-2</v>
      </c>
      <c r="L14" s="4">
        <v>3.3000000000000002E-2</v>
      </c>
      <c r="M14" s="4">
        <v>3.4000000000000002E-2</v>
      </c>
    </row>
    <row r="15" spans="1:13" x14ac:dyDescent="0.3">
      <c r="A15" t="s">
        <v>4</v>
      </c>
      <c r="B15" s="2" t="s">
        <v>18</v>
      </c>
      <c r="C15" s="3" t="s">
        <v>0</v>
      </c>
      <c r="D15" s="3" t="s">
        <v>1</v>
      </c>
      <c r="E15" s="5">
        <v>0.14000000000000001</v>
      </c>
      <c r="F15" s="5">
        <v>0.128</v>
      </c>
      <c r="G15" s="5">
        <v>0.13</v>
      </c>
      <c r="H15" s="5">
        <v>0.13</v>
      </c>
      <c r="I15" s="10">
        <v>0.19</v>
      </c>
      <c r="J15" s="4">
        <v>0.14329392580513645</v>
      </c>
      <c r="K15" s="4">
        <v>0.10089799902391405</v>
      </c>
      <c r="L15" s="4">
        <v>0.10047214353163381</v>
      </c>
      <c r="M15" s="4">
        <v>0.11090809428101589</v>
      </c>
    </row>
    <row r="16" spans="1:13" x14ac:dyDescent="0.3">
      <c r="A16" t="s">
        <v>4</v>
      </c>
      <c r="B16" s="2" t="s">
        <v>19</v>
      </c>
      <c r="C16" s="3" t="s">
        <v>0</v>
      </c>
      <c r="D16" s="3" t="s">
        <v>1</v>
      </c>
      <c r="E16" s="4">
        <v>1.9E-2</v>
      </c>
      <c r="F16" s="4">
        <v>1.6E-2</v>
      </c>
      <c r="G16" s="4">
        <v>2.1999999999999999E-2</v>
      </c>
      <c r="H16" s="4">
        <v>4.2999999999999997E-2</v>
      </c>
      <c r="I16" s="11">
        <v>3.9E-2</v>
      </c>
      <c r="J16" s="4">
        <f>[1]ORGAREV!M29</f>
        <v>2.4E-2</v>
      </c>
      <c r="K16" s="4">
        <f>[1]ORGAREV!N29</f>
        <v>2.7E-2</v>
      </c>
      <c r="L16" s="4">
        <f>[1]ORGAREV!O29</f>
        <v>2.1000000000000001E-2</v>
      </c>
      <c r="M16" s="4">
        <f>[1]ORGAREV!P29</f>
        <v>-5.0000000000000001E-3</v>
      </c>
    </row>
    <row r="17" spans="1:13" x14ac:dyDescent="0.3">
      <c r="A17" t="s">
        <v>4</v>
      </c>
      <c r="B17" s="2" t="s">
        <v>10</v>
      </c>
      <c r="C17" s="3" t="s">
        <v>22</v>
      </c>
      <c r="D17" s="3" t="s">
        <v>1</v>
      </c>
      <c r="E17" s="5">
        <v>2.5999999999999999E-2</v>
      </c>
      <c r="F17" s="5">
        <v>3.7999999999999999E-2</v>
      </c>
      <c r="G17" s="5">
        <v>7.4899999999999994E-2</v>
      </c>
      <c r="H17" s="5">
        <v>6.6000000000000003E-2</v>
      </c>
      <c r="I17" s="5">
        <v>5.3999999999999999E-2</v>
      </c>
      <c r="J17" s="4">
        <v>5.3999999999999999E-2</v>
      </c>
      <c r="K17" s="4">
        <v>6.5000000000000002E-2</v>
      </c>
      <c r="L17" s="4">
        <v>6.0999999999999999E-2</v>
      </c>
      <c r="M17" s="4">
        <v>3.4000000000000002E-2</v>
      </c>
    </row>
    <row r="18" spans="1:13" x14ac:dyDescent="0.3">
      <c r="A18" t="s">
        <v>4</v>
      </c>
      <c r="B18" s="2" t="s">
        <v>12</v>
      </c>
      <c r="C18" s="3" t="s">
        <v>22</v>
      </c>
      <c r="D18" s="3" t="s">
        <v>1</v>
      </c>
      <c r="E18" s="5">
        <v>0.22901296907619795</v>
      </c>
      <c r="F18" s="5">
        <v>0.2308862411016972</v>
      </c>
      <c r="G18" s="5">
        <v>0.25669366959550266</v>
      </c>
      <c r="H18" s="5">
        <v>0.19575690309750504</v>
      </c>
      <c r="I18" s="5">
        <v>0.21897325258642453</v>
      </c>
      <c r="J18" s="4">
        <v>0.19657412802133378</v>
      </c>
      <c r="K18" s="4">
        <v>0.17676545066217941</v>
      </c>
      <c r="L18" s="4">
        <v>0.18533265371857777</v>
      </c>
      <c r="M18" s="4">
        <v>0.16038172880762369</v>
      </c>
    </row>
    <row r="19" spans="1:13" x14ac:dyDescent="0.3">
      <c r="A19" t="s">
        <v>4</v>
      </c>
      <c r="B19" s="2" t="s">
        <v>13</v>
      </c>
      <c r="C19" s="3" t="s">
        <v>22</v>
      </c>
      <c r="D19" s="3" t="s">
        <v>1</v>
      </c>
      <c r="E19" s="5">
        <v>3.5000000000000003E-2</v>
      </c>
      <c r="F19" s="5">
        <v>3.1E-2</v>
      </c>
      <c r="G19" s="5">
        <v>1.4E-2</v>
      </c>
      <c r="H19" s="5">
        <v>2.9000000000000001E-2</v>
      </c>
      <c r="I19" s="5">
        <v>7.06310103974956E-2</v>
      </c>
      <c r="J19" s="5">
        <v>6.4819021332404206E-2</v>
      </c>
      <c r="K19" s="5">
        <v>7.058016298264061E-2</v>
      </c>
      <c r="L19" s="5">
        <v>7.4129378929654405E-2</v>
      </c>
      <c r="M19" s="5">
        <v>7.5950973893373908E-2</v>
      </c>
    </row>
    <row r="20" spans="1:13" x14ac:dyDescent="0.3">
      <c r="A20" t="s">
        <v>4</v>
      </c>
      <c r="B20" s="2" t="s">
        <v>14</v>
      </c>
      <c r="C20" s="3" t="s">
        <v>22</v>
      </c>
      <c r="D20" s="3" t="s">
        <v>1</v>
      </c>
      <c r="E20" s="5">
        <v>0.10289567143748468</v>
      </c>
      <c r="F20" s="5">
        <v>0.10503666815794643</v>
      </c>
      <c r="G20" s="5">
        <v>0.1255403486207054</v>
      </c>
      <c r="H20" s="5">
        <v>0.12753323666332772</v>
      </c>
      <c r="I20" s="5">
        <v>0.12801817452091968</v>
      </c>
      <c r="J20" s="5">
        <v>0.12242105493566569</v>
      </c>
      <c r="K20" s="5">
        <v>0.11170039764343653</v>
      </c>
      <c r="L20" s="5">
        <v>0.12700569892006275</v>
      </c>
      <c r="M20" s="5">
        <v>0.1496747486145511</v>
      </c>
    </row>
    <row r="21" spans="1:13" x14ac:dyDescent="0.3">
      <c r="A21" t="s">
        <v>4</v>
      </c>
      <c r="B21" s="2" t="s">
        <v>15</v>
      </c>
      <c r="C21" s="3" t="s">
        <v>22</v>
      </c>
      <c r="D21" s="3" t="s">
        <v>1</v>
      </c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3">
      <c r="A22" t="s">
        <v>4</v>
      </c>
      <c r="B22" s="2" t="s">
        <v>16</v>
      </c>
      <c r="C22" s="3" t="s">
        <v>22</v>
      </c>
      <c r="D22" s="3" t="s">
        <v>1</v>
      </c>
      <c r="E22" s="4">
        <v>7.4641148325358841E-2</v>
      </c>
      <c r="F22" s="4">
        <v>0.06</v>
      </c>
      <c r="G22" s="5">
        <v>5.7000000000000002E-2</v>
      </c>
      <c r="H22" s="5">
        <v>4.9000000000000002E-2</v>
      </c>
      <c r="I22" s="5">
        <v>4.7E-2</v>
      </c>
      <c r="J22" s="5">
        <v>4.4999999999999998E-2</v>
      </c>
      <c r="K22" s="5">
        <v>4.4000000000000004E-2</v>
      </c>
      <c r="L22" s="5">
        <v>6.4000000000000001E-2</v>
      </c>
      <c r="M22" s="5">
        <v>5.5E-2</v>
      </c>
    </row>
    <row r="23" spans="1:13" x14ac:dyDescent="0.3">
      <c r="A23" t="s">
        <v>23</v>
      </c>
      <c r="B23" s="2" t="s">
        <v>12</v>
      </c>
      <c r="C23" s="2" t="s">
        <v>0</v>
      </c>
      <c r="D23" s="3" t="s">
        <v>1</v>
      </c>
      <c r="E23" s="7">
        <v>-3.0000000000000001E-3</v>
      </c>
      <c r="F23" s="7">
        <v>-2.3E-2</v>
      </c>
      <c r="G23" s="7">
        <v>-1.9E-2</v>
      </c>
      <c r="H23" s="7">
        <v>-2.1000000000000001E-2</v>
      </c>
      <c r="I23" s="7">
        <v>-1.3000000000000001E-2</v>
      </c>
      <c r="J23" s="5">
        <v>5.0000000000000001E-3</v>
      </c>
      <c r="K23" s="5">
        <v>4.0000000000000001E-3</v>
      </c>
      <c r="L23" s="5">
        <v>8.0000000000000002E-3</v>
      </c>
      <c r="M23" s="5">
        <v>8.9999999999999993E-3</v>
      </c>
    </row>
    <row r="24" spans="1:13" x14ac:dyDescent="0.3">
      <c r="A24" t="s">
        <v>23</v>
      </c>
      <c r="B24" s="2" t="s">
        <v>13</v>
      </c>
      <c r="C24" s="3" t="s">
        <v>0</v>
      </c>
      <c r="D24" s="3" t="s">
        <v>1</v>
      </c>
      <c r="E24" s="7">
        <v>2.4371155615249551E-3</v>
      </c>
      <c r="F24" s="7">
        <v>6.0641811501474161E-4</v>
      </c>
      <c r="G24" s="7">
        <v>-3.1485533795097536E-3</v>
      </c>
      <c r="H24" s="7">
        <v>9.9980123308069995E-4</v>
      </c>
      <c r="I24" s="7">
        <v>-4.2634843869764098E-3</v>
      </c>
      <c r="J24" s="5">
        <v>-2.0897396983134871E-2</v>
      </c>
      <c r="K24" s="5">
        <v>-2.0530591706537205E-2</v>
      </c>
      <c r="L24" s="5">
        <v>-1.4543167912984383E-2</v>
      </c>
      <c r="M24" s="5">
        <v>-8.7493403693932222E-3</v>
      </c>
    </row>
    <row r="25" spans="1:13" x14ac:dyDescent="0.3">
      <c r="A25" t="s">
        <v>23</v>
      </c>
      <c r="B25" s="2" t="s">
        <v>14</v>
      </c>
      <c r="C25" s="2" t="s">
        <v>0</v>
      </c>
      <c r="D25" s="3" t="s">
        <v>1</v>
      </c>
      <c r="E25" s="7">
        <v>0</v>
      </c>
      <c r="F25" s="7">
        <v>0</v>
      </c>
      <c r="G25" s="7">
        <v>-3.1575902922040155E-2</v>
      </c>
      <c r="H25" s="7">
        <v>-7.0792141323626767E-3</v>
      </c>
      <c r="I25" s="7">
        <v>-2.4056936943775642E-2</v>
      </c>
      <c r="J25" s="5">
        <v>-1.7488407600064093E-2</v>
      </c>
      <c r="K25" s="5">
        <v>-6.0813214545548666E-3</v>
      </c>
      <c r="L25" s="5">
        <v>6.4363785919423488E-3</v>
      </c>
      <c r="M25" s="5">
        <v>-4.2597335293589333E-3</v>
      </c>
    </row>
    <row r="26" spans="1:13" x14ac:dyDescent="0.3">
      <c r="A26" t="s">
        <v>23</v>
      </c>
      <c r="B26" s="2" t="s">
        <v>16</v>
      </c>
      <c r="C26" s="2" t="s">
        <v>0</v>
      </c>
      <c r="D26" s="3" t="s">
        <v>1</v>
      </c>
      <c r="E26" s="7">
        <v>0</v>
      </c>
      <c r="F26" s="7">
        <v>0</v>
      </c>
      <c r="G26" s="7">
        <v>0</v>
      </c>
      <c r="H26" s="7">
        <v>2.1287128712871306E-2</v>
      </c>
      <c r="I26" s="7">
        <v>2.342256214149141E-2</v>
      </c>
      <c r="J26" s="5">
        <v>1.1121408711770142E-2</v>
      </c>
      <c r="K26" s="5">
        <v>4.884430876580903E-2</v>
      </c>
      <c r="L26" s="5">
        <v>2.4236548715463879E-3</v>
      </c>
      <c r="M26" s="5">
        <v>0</v>
      </c>
    </row>
    <row r="27" spans="1:13" x14ac:dyDescent="0.3">
      <c r="A27" t="s">
        <v>23</v>
      </c>
      <c r="B27" s="2" t="s">
        <v>10</v>
      </c>
      <c r="C27" s="2" t="s">
        <v>0</v>
      </c>
      <c r="D27" s="3" t="s">
        <v>1</v>
      </c>
      <c r="E27" s="7">
        <v>2.9014110938180515E-2</v>
      </c>
      <c r="F27" s="7">
        <v>3.0286811977828565E-2</v>
      </c>
      <c r="G27" s="7">
        <v>3.691128620253159E-2</v>
      </c>
      <c r="H27" s="7">
        <v>2.9285642867245887E-2</v>
      </c>
      <c r="I27" s="7">
        <v>1.5774311594706436E-2</v>
      </c>
      <c r="J27" s="5">
        <v>1.2999999999999999E-2</v>
      </c>
      <c r="K27" s="5">
        <v>2.5000000000000001E-2</v>
      </c>
      <c r="L27" s="5">
        <v>2.4E-2</v>
      </c>
      <c r="M27" s="5">
        <v>2.4E-2</v>
      </c>
    </row>
    <row r="28" spans="1:13" x14ac:dyDescent="0.3">
      <c r="A28" t="s">
        <v>23</v>
      </c>
      <c r="B28" s="2" t="s">
        <v>17</v>
      </c>
      <c r="C28" s="2" t="s">
        <v>0</v>
      </c>
      <c r="D28" s="3" t="s">
        <v>1</v>
      </c>
      <c r="E28" s="7">
        <v>8.2680513571362413E-2</v>
      </c>
      <c r="F28" s="7">
        <v>7.9054418624351142E-2</v>
      </c>
      <c r="G28" s="7">
        <v>8.8788459841101508E-2</v>
      </c>
      <c r="H28" s="7">
        <v>4.5741908209413706E-2</v>
      </c>
      <c r="I28" s="7">
        <v>2.9000000000000001E-2</v>
      </c>
      <c r="J28" s="5">
        <v>1.9E-2</v>
      </c>
      <c r="K28" s="5">
        <v>2.7E-2</v>
      </c>
      <c r="L28" s="5">
        <v>3.1E-2</v>
      </c>
      <c r="M28" s="5">
        <v>3.769618106625594E-2</v>
      </c>
    </row>
    <row r="29" spans="1:13" x14ac:dyDescent="0.3">
      <c r="A29" t="s">
        <v>23</v>
      </c>
      <c r="B29" s="2" t="s">
        <v>18</v>
      </c>
      <c r="C29" s="2" t="s">
        <v>0</v>
      </c>
      <c r="D29" s="3" t="s">
        <v>1</v>
      </c>
      <c r="E29" s="7">
        <v>0.15204024594745702</v>
      </c>
      <c r="F29" s="7">
        <v>0.13281895839074132</v>
      </c>
      <c r="G29" s="7">
        <v>0.12732026143790853</v>
      </c>
      <c r="H29" s="7">
        <v>0.13564468751296932</v>
      </c>
      <c r="I29" s="7">
        <v>0.16</v>
      </c>
      <c r="J29" s="5">
        <v>0.14000000000000001</v>
      </c>
      <c r="K29" s="5">
        <v>0.161</v>
      </c>
      <c r="L29" s="5">
        <v>0.109</v>
      </c>
      <c r="M29" s="5">
        <v>0.10100000000000001</v>
      </c>
    </row>
    <row r="30" spans="1:13" x14ac:dyDescent="0.3">
      <c r="A30" t="s">
        <v>23</v>
      </c>
      <c r="B30" s="2" t="s">
        <v>15</v>
      </c>
      <c r="C30" s="2" t="s">
        <v>0</v>
      </c>
      <c r="D30" s="3" t="s">
        <v>1</v>
      </c>
      <c r="E30" s="7">
        <v>3.5361496899521505E-2</v>
      </c>
      <c r="F30" s="7">
        <v>5.003349911421795E-2</v>
      </c>
      <c r="G30" s="7">
        <v>5.003349911421795E-2</v>
      </c>
      <c r="H30" s="7">
        <v>2.5000000000000001E-2</v>
      </c>
      <c r="I30" s="7">
        <v>-0.01</v>
      </c>
      <c r="J30" s="5">
        <v>-0.01</v>
      </c>
      <c r="K30" s="5">
        <v>-0.01</v>
      </c>
      <c r="L30" s="5">
        <v>-0.01</v>
      </c>
      <c r="M30" s="5">
        <v>-0.01</v>
      </c>
    </row>
    <row r="31" spans="1:13" ht="14.4" customHeight="1" x14ac:dyDescent="0.3">
      <c r="A31" s="8" t="s">
        <v>27</v>
      </c>
      <c r="B31" s="2" t="s">
        <v>10</v>
      </c>
      <c r="C31" s="3" t="s">
        <v>11</v>
      </c>
      <c r="D31" s="3" t="s">
        <v>2</v>
      </c>
      <c r="E31" s="4">
        <v>0.36894429680119373</v>
      </c>
      <c r="F31" s="4">
        <v>0.37123268479764637</v>
      </c>
      <c r="G31" s="4">
        <v>0.37160206963867704</v>
      </c>
      <c r="H31" s="4">
        <v>0.37288020275212191</v>
      </c>
      <c r="I31" s="9">
        <v>0.37353108375261967</v>
      </c>
      <c r="J31" s="5">
        <v>0.3723212700666988</v>
      </c>
      <c r="K31" s="5">
        <v>0.37154541866460644</v>
      </c>
      <c r="L31" s="5">
        <v>0.37306621027551262</v>
      </c>
      <c r="M31" s="5">
        <v>0.37598166995965399</v>
      </c>
    </row>
    <row r="32" spans="1:13" x14ac:dyDescent="0.3">
      <c r="A32" s="8" t="s">
        <v>27</v>
      </c>
      <c r="B32" s="2" t="s">
        <v>12</v>
      </c>
      <c r="C32" s="3" t="s">
        <v>11</v>
      </c>
      <c r="D32" s="3" t="s">
        <v>2</v>
      </c>
      <c r="E32" s="4">
        <v>0.29813311688311689</v>
      </c>
      <c r="F32" s="4">
        <v>0.29729802756011886</v>
      </c>
      <c r="G32" s="4">
        <v>0.29360907271514342</v>
      </c>
      <c r="H32" s="4">
        <v>0.29192480239265112</v>
      </c>
      <c r="I32" s="9">
        <v>0.29192480239265112</v>
      </c>
      <c r="J32" s="5">
        <v>0.29006472241561587</v>
      </c>
      <c r="K32" s="5">
        <v>0.28534828268479528</v>
      </c>
      <c r="L32" s="5">
        <v>0.28054175625911371</v>
      </c>
      <c r="M32" s="5">
        <v>0.28054175625911371</v>
      </c>
    </row>
    <row r="33" spans="1:13" x14ac:dyDescent="0.3">
      <c r="A33" s="8" t="s">
        <v>27</v>
      </c>
      <c r="B33" s="2" t="s">
        <v>13</v>
      </c>
      <c r="C33" s="3" t="s">
        <v>11</v>
      </c>
      <c r="D33" s="3" t="s">
        <v>2</v>
      </c>
      <c r="E33" s="4">
        <v>0.25846052964325461</v>
      </c>
      <c r="F33" s="4">
        <v>0.26709207735347351</v>
      </c>
      <c r="G33" s="4">
        <v>0.26981553109408785</v>
      </c>
      <c r="H33" s="4">
        <v>0.26807493529661652</v>
      </c>
      <c r="I33" s="9">
        <v>0.26545185208217875</v>
      </c>
      <c r="J33" s="5">
        <v>0.27954806235429908</v>
      </c>
      <c r="K33" s="5">
        <v>0.28157888930732405</v>
      </c>
      <c r="L33" s="5">
        <v>0.28153693817022524</v>
      </c>
      <c r="M33" s="5">
        <v>0.2830584817604298</v>
      </c>
    </row>
    <row r="34" spans="1:13" x14ac:dyDescent="0.3">
      <c r="A34" s="8" t="s">
        <v>27</v>
      </c>
      <c r="B34" s="2" t="s">
        <v>14</v>
      </c>
      <c r="C34" s="3" t="s">
        <v>11</v>
      </c>
      <c r="D34" s="3" t="s">
        <v>2</v>
      </c>
      <c r="E34" s="4">
        <v>0.29845509930519182</v>
      </c>
      <c r="F34" s="4">
        <v>0.29958680771077018</v>
      </c>
      <c r="G34" s="4">
        <v>0.30076558247140217</v>
      </c>
      <c r="H34" s="4">
        <v>0.30214376344934563</v>
      </c>
      <c r="I34" s="9">
        <v>0.30472537506521952</v>
      </c>
      <c r="J34" s="5">
        <v>0.30702238135144133</v>
      </c>
      <c r="K34" s="5">
        <v>0.30869108324214722</v>
      </c>
      <c r="L34" s="5">
        <v>0.31027855699227441</v>
      </c>
      <c r="M34" s="5">
        <v>0.31146180168335774</v>
      </c>
    </row>
    <row r="35" spans="1:13" x14ac:dyDescent="0.3">
      <c r="A35" s="8" t="s">
        <v>27</v>
      </c>
      <c r="B35" s="2" t="s">
        <v>15</v>
      </c>
      <c r="C35" s="3" t="s">
        <v>11</v>
      </c>
      <c r="D35" s="3" t="s">
        <v>2</v>
      </c>
      <c r="E35" s="4">
        <v>0.36119287747912948</v>
      </c>
      <c r="F35" s="4">
        <v>0.36441461160562283</v>
      </c>
      <c r="G35" s="4">
        <v>0.37111481517795863</v>
      </c>
      <c r="H35" s="4">
        <v>0.3713303878252332</v>
      </c>
      <c r="I35" s="12">
        <v>0.41508159819921214</v>
      </c>
      <c r="J35" s="5">
        <v>0.41863561674882427</v>
      </c>
      <c r="K35" s="5">
        <v>0.42089347863296628</v>
      </c>
      <c r="L35" s="5">
        <v>0.42591113899503791</v>
      </c>
      <c r="M35" s="5">
        <v>0.42579061536705104</v>
      </c>
    </row>
    <row r="36" spans="1:13" x14ac:dyDescent="0.3">
      <c r="A36" s="8" t="s">
        <v>27</v>
      </c>
      <c r="B36" s="2" t="s">
        <v>20</v>
      </c>
      <c r="C36" s="3" t="s">
        <v>11</v>
      </c>
      <c r="D36" s="3" t="s">
        <v>2</v>
      </c>
      <c r="E36" s="4">
        <v>0.26202889915090122</v>
      </c>
      <c r="F36" s="4">
        <v>0.26714299890840526</v>
      </c>
      <c r="G36" s="4">
        <v>0.26197080291970803</v>
      </c>
      <c r="H36" s="4">
        <v>0.2624056292604266</v>
      </c>
      <c r="I36" s="9">
        <v>0.26244110718492342</v>
      </c>
      <c r="J36" s="5">
        <v>0.26494595190822856</v>
      </c>
      <c r="K36" s="5">
        <v>0.26860346585117229</v>
      </c>
      <c r="L36" s="5">
        <v>0.26620219174105525</v>
      </c>
      <c r="M36" s="5">
        <v>0.26820362282523091</v>
      </c>
    </row>
    <row r="37" spans="1:13" x14ac:dyDescent="0.3">
      <c r="A37" s="8" t="s">
        <v>27</v>
      </c>
      <c r="B37" s="2" t="s">
        <v>19</v>
      </c>
      <c r="C37" s="3" t="s">
        <v>11</v>
      </c>
      <c r="D37" s="3" t="s">
        <v>2</v>
      </c>
      <c r="E37" s="4">
        <v>0.44556664457492745</v>
      </c>
      <c r="F37" s="4">
        <v>0.44352557730789816</v>
      </c>
      <c r="G37" s="4">
        <v>0.44495830194457364</v>
      </c>
      <c r="H37" s="4">
        <v>0.44685397653784092</v>
      </c>
      <c r="I37" s="9">
        <v>0.44800000000000001</v>
      </c>
      <c r="J37" s="5">
        <v>0.45008635578583767</v>
      </c>
      <c r="K37" s="5">
        <v>0.45228839820593741</v>
      </c>
      <c r="L37" s="5">
        <v>0.45356777057016046</v>
      </c>
      <c r="M37" s="5">
        <v>0.45384615384615384</v>
      </c>
    </row>
    <row r="38" spans="1:13" x14ac:dyDescent="0.3">
      <c r="A38" s="8" t="s">
        <v>27</v>
      </c>
      <c r="B38" s="2" t="s">
        <v>17</v>
      </c>
      <c r="C38" s="3" t="s">
        <v>11</v>
      </c>
      <c r="D38" s="3" t="s">
        <v>2</v>
      </c>
      <c r="E38" s="4">
        <v>0.38292929292929295</v>
      </c>
      <c r="F38" s="4">
        <v>0.38292929292929295</v>
      </c>
      <c r="G38" s="4">
        <v>0.38400000000000001</v>
      </c>
      <c r="H38" s="4">
        <v>0.38536729857819901</v>
      </c>
      <c r="I38" s="9">
        <v>0.39500000000000002</v>
      </c>
      <c r="J38" s="5">
        <v>0.39099502972419842</v>
      </c>
      <c r="K38" s="5">
        <v>0.3905691371146971</v>
      </c>
      <c r="L38" s="5">
        <v>0.3888888888888889</v>
      </c>
      <c r="M38" s="5">
        <v>0.38900000000000001</v>
      </c>
    </row>
    <row r="39" spans="1:13" x14ac:dyDescent="0.3">
      <c r="A39" s="8" t="s">
        <v>27</v>
      </c>
      <c r="B39" s="2" t="s">
        <v>18</v>
      </c>
      <c r="C39" s="3" t="s">
        <v>11</v>
      </c>
      <c r="D39" s="3" t="s">
        <v>2</v>
      </c>
      <c r="E39" s="4">
        <v>0.30551223092379959</v>
      </c>
      <c r="F39" s="4">
        <v>0.30712558941094803</v>
      </c>
      <c r="G39" s="4">
        <v>0.30115663401834197</v>
      </c>
      <c r="H39" s="4">
        <v>0.28857427171181899</v>
      </c>
      <c r="I39" s="9">
        <v>0.27400000000000002</v>
      </c>
      <c r="J39" s="5">
        <v>0.2674508626463728</v>
      </c>
      <c r="K39" s="5">
        <v>0.2639254512110118</v>
      </c>
      <c r="L39" s="5">
        <v>0.26700000000000002</v>
      </c>
      <c r="M39" s="5">
        <v>0.27500000000000002</v>
      </c>
    </row>
    <row r="40" spans="1:13" x14ac:dyDescent="0.3">
      <c r="A40" s="8" t="s">
        <v>27</v>
      </c>
      <c r="B40" s="2" t="s">
        <v>21</v>
      </c>
      <c r="C40" s="3" t="s">
        <v>11</v>
      </c>
      <c r="D40" s="3" t="s">
        <v>2</v>
      </c>
      <c r="E40" s="4">
        <v>0.35248866706351017</v>
      </c>
      <c r="F40" s="4">
        <v>0.35727093007218064</v>
      </c>
      <c r="G40" s="4">
        <v>0.35747205110654801</v>
      </c>
      <c r="H40" s="4">
        <v>0.35796276211135197</v>
      </c>
      <c r="I40" s="13">
        <v>0.35428751292773952</v>
      </c>
      <c r="J40" s="5">
        <v>0.35393508225878167</v>
      </c>
      <c r="K40" s="5">
        <v>0.33894550287992908</v>
      </c>
      <c r="L40" s="5">
        <v>0.34186894282919889</v>
      </c>
      <c r="M40" s="5">
        <v>0.34205141891290813</v>
      </c>
    </row>
    <row r="41" spans="1:13" ht="14.4" customHeight="1" x14ac:dyDescent="0.3">
      <c r="A41" t="s">
        <v>28</v>
      </c>
      <c r="B41" s="2" t="s">
        <v>10</v>
      </c>
      <c r="C41" s="3" t="s">
        <v>11</v>
      </c>
      <c r="D41" s="3" t="s">
        <v>2</v>
      </c>
      <c r="E41" s="4">
        <v>0.13910348663705954</v>
      </c>
      <c r="F41" s="4">
        <v>0.1339159063446754</v>
      </c>
      <c r="G41" s="4">
        <v>0.1378780157036858</v>
      </c>
      <c r="H41" s="4">
        <v>0.13304757530914596</v>
      </c>
      <c r="I41" s="9">
        <v>0.13431303506732623</v>
      </c>
      <c r="J41" s="5">
        <v>0.13717633334178692</v>
      </c>
      <c r="K41" s="5">
        <v>0.14161789034354766</v>
      </c>
      <c r="L41" s="5">
        <v>0.13698446256585792</v>
      </c>
      <c r="M41" s="5">
        <v>0.13666174102176692</v>
      </c>
    </row>
    <row r="42" spans="1:13" x14ac:dyDescent="0.3">
      <c r="A42" t="s">
        <v>28</v>
      </c>
      <c r="B42" s="2" t="s">
        <v>12</v>
      </c>
      <c r="C42" s="3" t="s">
        <v>11</v>
      </c>
      <c r="D42" s="3" t="s">
        <v>2</v>
      </c>
      <c r="E42" s="4">
        <v>0.17129329004329005</v>
      </c>
      <c r="F42" s="4">
        <v>0.17403404485274251</v>
      </c>
      <c r="G42" s="4">
        <v>0.17187458305537023</v>
      </c>
      <c r="H42" s="4">
        <v>0.18324076052125615</v>
      </c>
      <c r="I42" s="13">
        <v>0.18324076052125615</v>
      </c>
      <c r="J42" s="5">
        <v>0.18154880016932562</v>
      </c>
      <c r="K42" s="5">
        <v>0.16932169854396023</v>
      </c>
      <c r="L42" s="5">
        <v>0.18019821556560639</v>
      </c>
      <c r="M42" s="5">
        <v>0.18019821556560639</v>
      </c>
    </row>
    <row r="43" spans="1:13" x14ac:dyDescent="0.3">
      <c r="A43" t="s">
        <v>28</v>
      </c>
      <c r="B43" s="2" t="s">
        <v>13</v>
      </c>
      <c r="C43" s="3" t="s">
        <v>11</v>
      </c>
      <c r="D43" s="3" t="s">
        <v>2</v>
      </c>
      <c r="E43" s="4">
        <v>0.12953769296406176</v>
      </c>
      <c r="F43" s="4">
        <v>0.12825205284945754</v>
      </c>
      <c r="G43" s="4">
        <v>0.12872122016036958</v>
      </c>
      <c r="H43" s="4">
        <v>0.12943709932541719</v>
      </c>
      <c r="I43" s="9">
        <v>0.12841535247541483</v>
      </c>
      <c r="J43" s="5"/>
      <c r="K43" s="5"/>
      <c r="L43" s="5">
        <v>0.12685406067302565</v>
      </c>
      <c r="M43" s="5">
        <v>0.12709196745716847</v>
      </c>
    </row>
    <row r="44" spans="1:13" x14ac:dyDescent="0.3">
      <c r="A44" t="s">
        <v>28</v>
      </c>
      <c r="B44" s="2" t="s">
        <v>14</v>
      </c>
      <c r="C44" s="3" t="s">
        <v>11</v>
      </c>
      <c r="D44" s="3" t="s">
        <v>2</v>
      </c>
      <c r="E44" s="4">
        <v>0.15370894156402631</v>
      </c>
      <c r="F44" s="4">
        <v>0.15216237157691417</v>
      </c>
      <c r="G44" s="4">
        <v>0.15546381247133795</v>
      </c>
      <c r="H44" s="4">
        <v>0.15717681199908337</v>
      </c>
      <c r="I44" s="9">
        <v>0.15792992565579875</v>
      </c>
      <c r="J44" s="5">
        <f>[1]CAPEX!E29</f>
        <v>0.16061552264788603</v>
      </c>
      <c r="K44" s="5">
        <f>[1]CAPEX!F29</f>
        <v>0.15366870812673247</v>
      </c>
      <c r="L44" s="5">
        <f>[1]CAPEX!G29</f>
        <v>0.1549206956645377</v>
      </c>
      <c r="M44" s="5">
        <f>[1]CAPEX!H29</f>
        <v>0.15345450351512344</v>
      </c>
    </row>
    <row r="45" spans="1:13" x14ac:dyDescent="0.3">
      <c r="A45" t="s">
        <v>28</v>
      </c>
      <c r="B45" s="2" t="s">
        <v>15</v>
      </c>
      <c r="C45" s="3" t="s">
        <v>11</v>
      </c>
      <c r="D45" s="3" t="s">
        <v>2</v>
      </c>
      <c r="E45" s="4">
        <v>0.23548713989287265</v>
      </c>
      <c r="F45" s="4">
        <v>0.23483632472396518</v>
      </c>
      <c r="G45" s="4">
        <v>0.23668987155603491</v>
      </c>
      <c r="H45" s="4">
        <v>0.23843888070692196</v>
      </c>
      <c r="I45" s="13">
        <v>0.27178109786805438</v>
      </c>
      <c r="J45" s="5">
        <v>0.28505864354920957</v>
      </c>
      <c r="K45" s="5">
        <v>0.28505864354920957</v>
      </c>
      <c r="L45" s="5">
        <v>0.29173558432669822</v>
      </c>
      <c r="M45" s="5">
        <v>0.29173558432669822</v>
      </c>
    </row>
    <row r="46" spans="1:13" x14ac:dyDescent="0.3">
      <c r="A46" t="s">
        <v>28</v>
      </c>
      <c r="B46" s="2" t="s">
        <v>20</v>
      </c>
      <c r="C46" s="3" t="s">
        <v>11</v>
      </c>
      <c r="D46" s="3" t="s">
        <v>2</v>
      </c>
      <c r="E46" s="4">
        <v>0.13406822583047817</v>
      </c>
      <c r="F46" s="4">
        <v>0.12483874168899474</v>
      </c>
      <c r="G46" s="4">
        <v>0.14554744525547444</v>
      </c>
      <c r="H46" s="4">
        <v>0.1394993894993895</v>
      </c>
      <c r="I46" s="9">
        <v>0.1419316843345112</v>
      </c>
      <c r="J46" s="5">
        <f>[1]CAPEX!E31</f>
        <v>0.14273108316788</v>
      </c>
      <c r="K46" s="5">
        <f>[1]CAPEX!F31</f>
        <v>0.13856123489151012</v>
      </c>
      <c r="L46" s="5">
        <f>[1]CAPEX!G31</f>
        <v>0.13513317367007766</v>
      </c>
      <c r="M46" s="5">
        <f>[1]CAPEX!H31</f>
        <v>0.13832605427078112</v>
      </c>
    </row>
    <row r="47" spans="1:13" x14ac:dyDescent="0.3">
      <c r="A47" t="s">
        <v>28</v>
      </c>
      <c r="B47" s="2" t="s">
        <v>19</v>
      </c>
      <c r="C47" s="3" t="s">
        <v>11</v>
      </c>
      <c r="D47" s="3" t="s">
        <v>2</v>
      </c>
      <c r="E47" s="4">
        <v>0.23148085633285317</v>
      </c>
      <c r="F47" s="4">
        <v>0.22512690954359074</v>
      </c>
      <c r="G47" s="4">
        <v>0.22270889271293462</v>
      </c>
      <c r="H47" s="4">
        <v>0.21968985389283208</v>
      </c>
      <c r="I47" s="9">
        <v>0.21</v>
      </c>
      <c r="J47" s="5">
        <v>0.21381692573402417</v>
      </c>
      <c r="K47" s="5">
        <v>0.21666378670172404</v>
      </c>
      <c r="L47" s="5">
        <v>0.21321270058040287</v>
      </c>
      <c r="M47" s="5">
        <v>0.21521367521367521</v>
      </c>
    </row>
    <row r="48" spans="1:13" x14ac:dyDescent="0.3">
      <c r="A48" t="s">
        <v>28</v>
      </c>
      <c r="B48" s="2" t="s">
        <v>17</v>
      </c>
      <c r="C48" s="3" t="s">
        <v>11</v>
      </c>
      <c r="D48" s="3" t="s">
        <v>2</v>
      </c>
      <c r="E48" s="4">
        <v>0.19216494845360824</v>
      </c>
      <c r="F48" s="4">
        <v>0.18808080808080807</v>
      </c>
      <c r="G48" s="4">
        <v>0.20200000000000001</v>
      </c>
      <c r="H48" s="4">
        <v>0.20063191153238547</v>
      </c>
      <c r="I48" s="9">
        <v>0.19700000000000001</v>
      </c>
      <c r="J48" s="5">
        <v>0.17883247246857031</v>
      </c>
      <c r="K48" s="5">
        <v>0.17296357135955165</v>
      </c>
      <c r="L48" s="5">
        <v>0.16436384571099596</v>
      </c>
      <c r="M48" s="5">
        <v>0.16300000000000001</v>
      </c>
    </row>
    <row r="49" spans="1:13" x14ac:dyDescent="0.3">
      <c r="A49" t="s">
        <v>28</v>
      </c>
      <c r="B49" s="2" t="s">
        <v>18</v>
      </c>
      <c r="C49" s="3" t="s">
        <v>11</v>
      </c>
      <c r="D49" s="3" t="s">
        <v>2</v>
      </c>
      <c r="E49" s="4">
        <v>0.39803073742890832</v>
      </c>
      <c r="F49" s="4">
        <v>0.38722271422910498</v>
      </c>
      <c r="G49" s="4">
        <v>0.40892676210023121</v>
      </c>
      <c r="H49" s="4">
        <v>0.39157151031171483</v>
      </c>
      <c r="I49" s="9">
        <v>0.36899999999999999</v>
      </c>
      <c r="J49" s="5">
        <v>0.36030209945261804</v>
      </c>
      <c r="K49" s="5">
        <v>0.36002138472886736</v>
      </c>
      <c r="L49" s="5">
        <v>0.3463512884488536</v>
      </c>
      <c r="M49" s="5">
        <v>0.32371748527624977</v>
      </c>
    </row>
    <row r="50" spans="1:13" x14ac:dyDescent="0.3">
      <c r="A50" t="s">
        <v>28</v>
      </c>
      <c r="B50" s="2" t="s">
        <v>21</v>
      </c>
      <c r="C50" s="3" t="s">
        <v>11</v>
      </c>
      <c r="D50" s="3" t="s">
        <v>2</v>
      </c>
      <c r="E50" s="4">
        <v>0.13814735106918813</v>
      </c>
      <c r="F50" s="4">
        <v>0.14077513677532066</v>
      </c>
      <c r="G50" s="4">
        <v>0.13461099703399498</v>
      </c>
      <c r="H50" s="4">
        <v>0.13647866955892984</v>
      </c>
      <c r="I50" s="9">
        <v>0.13400000000000001</v>
      </c>
      <c r="J50" s="5">
        <v>0.12716763005780346</v>
      </c>
      <c r="K50" s="5">
        <v>0.12405848471422241</v>
      </c>
      <c r="L50" s="5">
        <v>0.12287721170089801</v>
      </c>
      <c r="M50" s="5">
        <v>0.12116359754470243</v>
      </c>
    </row>
    <row r="51" spans="1:13" x14ac:dyDescent="0.3">
      <c r="A51" t="s">
        <v>29</v>
      </c>
      <c r="B51" s="2" t="s">
        <v>10</v>
      </c>
      <c r="C51" s="3" t="s">
        <v>11</v>
      </c>
      <c r="D51" s="3" t="s">
        <v>2</v>
      </c>
      <c r="E51" s="4">
        <v>0.22984081016413416</v>
      </c>
      <c r="F51" s="4">
        <v>0.23731677845297094</v>
      </c>
      <c r="G51" s="4">
        <v>0.23372405393499124</v>
      </c>
      <c r="H51" s="4">
        <v>0.23983262744297595</v>
      </c>
      <c r="I51" s="9">
        <v>0.23921804868529345</v>
      </c>
      <c r="J51" s="5">
        <v>0.23514493672491188</v>
      </c>
      <c r="K51" s="5">
        <v>0.22992752832105878</v>
      </c>
      <c r="L51" s="5">
        <v>0.23608174770965468</v>
      </c>
      <c r="M51" s="5">
        <v>0.23931992893788706</v>
      </c>
    </row>
    <row r="52" spans="1:13" x14ac:dyDescent="0.3">
      <c r="A52" t="s">
        <v>29</v>
      </c>
      <c r="B52" s="2" t="s">
        <v>12</v>
      </c>
      <c r="C52" s="3" t="s">
        <v>11</v>
      </c>
      <c r="D52" s="3" t="s">
        <v>2</v>
      </c>
      <c r="E52" s="4">
        <v>0.12683982683982684</v>
      </c>
      <c r="F52" s="4">
        <v>0.12326398270737639</v>
      </c>
      <c r="G52" s="4">
        <v>0.12173448965977318</v>
      </c>
      <c r="H52" s="4">
        <v>0.10868404187139501</v>
      </c>
      <c r="I52" s="9">
        <v>0.10868404187139501</v>
      </c>
      <c r="J52" s="5">
        <v>0.10768050374368336</v>
      </c>
      <c r="K52" s="5">
        <v>0.1179443541940641</v>
      </c>
      <c r="L52" s="5">
        <v>0.10034354069350733</v>
      </c>
      <c r="M52" s="5">
        <v>0.10034354069350733</v>
      </c>
    </row>
    <row r="53" spans="1:13" x14ac:dyDescent="0.3">
      <c r="A53" t="s">
        <v>29</v>
      </c>
      <c r="B53" s="2" t="s">
        <v>13</v>
      </c>
      <c r="C53" s="3" t="s">
        <v>11</v>
      </c>
      <c r="D53" s="3" t="s">
        <v>2</v>
      </c>
      <c r="E53" s="4">
        <v>0.12892283667919285</v>
      </c>
      <c r="F53" s="4">
        <v>0.13032992591445153</v>
      </c>
      <c r="G53" s="4">
        <v>0.12614949557285329</v>
      </c>
      <c r="H53" s="4">
        <v>0.13863783597119933</v>
      </c>
      <c r="I53" s="9">
        <v>0.13703649960676398</v>
      </c>
      <c r="J53" s="5"/>
      <c r="K53" s="5"/>
      <c r="L53" s="5">
        <v>0.15468287749719958</v>
      </c>
      <c r="M53" s="5">
        <v>0.15596651430326139</v>
      </c>
    </row>
    <row r="54" spans="1:13" x14ac:dyDescent="0.3">
      <c r="A54" t="s">
        <v>29</v>
      </c>
      <c r="B54" s="2" t="s">
        <v>14</v>
      </c>
      <c r="C54" s="3" t="s">
        <v>11</v>
      </c>
      <c r="D54" s="3" t="s">
        <v>2</v>
      </c>
      <c r="E54" s="4">
        <v>0.1447461577411655</v>
      </c>
      <c r="F54" s="4">
        <v>0.14742443613385597</v>
      </c>
      <c r="G54" s="4">
        <v>0.1453017700000642</v>
      </c>
      <c r="H54" s="4">
        <v>0.14496695145026225</v>
      </c>
      <c r="I54" s="9">
        <v>0.14679544940942077</v>
      </c>
      <c r="J54" s="5">
        <v>0.1464068587035553</v>
      </c>
      <c r="K54" s="5">
        <v>0.15502237511541475</v>
      </c>
      <c r="L54" s="5">
        <v>0.15535786132773668</v>
      </c>
      <c r="M54" s="5">
        <v>0.15800729816823431</v>
      </c>
    </row>
    <row r="55" spans="1:13" x14ac:dyDescent="0.3">
      <c r="A55" t="s">
        <v>29</v>
      </c>
      <c r="B55" s="2" t="s">
        <v>15</v>
      </c>
      <c r="C55" s="3" t="s">
        <v>11</v>
      </c>
      <c r="D55" s="3" t="s">
        <v>2</v>
      </c>
      <c r="E55" s="4">
        <v>0.12277417806575473</v>
      </c>
      <c r="F55" s="4">
        <v>0.12957828688165768</v>
      </c>
      <c r="G55" s="4">
        <v>0.13060103931758016</v>
      </c>
      <c r="H55" s="4">
        <v>0.13289150711831124</v>
      </c>
      <c r="I55" s="9">
        <v>0.14000335739466174</v>
      </c>
      <c r="J55" s="5">
        <v>0.1335769731996147</v>
      </c>
      <c r="K55" s="5">
        <v>0.1335769731996147</v>
      </c>
      <c r="L55" s="5">
        <v>0.13417555466833969</v>
      </c>
      <c r="M55" s="5">
        <v>0.13417555466833969</v>
      </c>
    </row>
    <row r="56" spans="1:13" x14ac:dyDescent="0.3">
      <c r="A56" t="s">
        <v>29</v>
      </c>
      <c r="B56" s="2" t="s">
        <v>20</v>
      </c>
      <c r="C56" s="3" t="s">
        <v>11</v>
      </c>
      <c r="D56" s="3" t="s">
        <v>2</v>
      </c>
      <c r="E56" s="4">
        <v>0.12796067332042305</v>
      </c>
      <c r="F56" s="4">
        <v>0.14230425721941053</v>
      </c>
      <c r="G56" s="4">
        <v>0.11642335766423358</v>
      </c>
      <c r="H56" s="4">
        <v>0.10927960927960928</v>
      </c>
      <c r="I56" s="9">
        <v>0.12050942285041225</v>
      </c>
      <c r="J56" s="5">
        <f>[1]OPCF!E34</f>
        <v>0.12228840355908523</v>
      </c>
      <c r="K56" s="5">
        <f>[1]OPCF!F34</f>
        <v>0.13004223095966216</v>
      </c>
      <c r="L56" s="5">
        <f>[1]OPCF!G34</f>
        <v>0.13106901807097757</v>
      </c>
      <c r="M56" s="5">
        <f>[1]OPCF!H34</f>
        <v>0.12987756855444976</v>
      </c>
    </row>
    <row r="57" spans="1:13" x14ac:dyDescent="0.3">
      <c r="A57" t="s">
        <v>29</v>
      </c>
      <c r="B57" s="2" t="s">
        <v>19</v>
      </c>
      <c r="C57" s="3" t="s">
        <v>11</v>
      </c>
      <c r="D57" s="3" t="s">
        <v>2</v>
      </c>
      <c r="E57" s="9">
        <v>0.214</v>
      </c>
      <c r="F57" s="4"/>
      <c r="G57" s="4"/>
      <c r="H57" s="4">
        <v>0.22716412264500885</v>
      </c>
      <c r="I57" s="9">
        <v>0.23799999999999999</v>
      </c>
      <c r="J57" s="5"/>
      <c r="K57" s="5"/>
      <c r="L57" s="5"/>
      <c r="M57" s="5">
        <f>[1]OPCF!H35</f>
        <v>0.23863247863247863</v>
      </c>
    </row>
    <row r="58" spans="1:13" x14ac:dyDescent="0.3">
      <c r="A58" t="s">
        <v>29</v>
      </c>
      <c r="B58" s="2" t="s">
        <v>17</v>
      </c>
      <c r="C58" s="3" t="s">
        <v>11</v>
      </c>
      <c r="D58" s="3" t="s">
        <v>2</v>
      </c>
      <c r="E58" s="9">
        <v>0.185</v>
      </c>
      <c r="F58" s="4"/>
      <c r="G58" s="4"/>
      <c r="H58" s="4">
        <v>0.18473538704581355</v>
      </c>
      <c r="I58" s="9">
        <v>0.19800000000000001</v>
      </c>
      <c r="J58" s="5"/>
      <c r="K58" s="5"/>
      <c r="L58" s="5"/>
      <c r="M58" s="5">
        <f>[1]OPCF!H36</f>
        <v>0.22600000000000001</v>
      </c>
    </row>
    <row r="59" spans="1:13" x14ac:dyDescent="0.3">
      <c r="A59" t="s">
        <v>29</v>
      </c>
      <c r="B59" s="2" t="s">
        <v>18</v>
      </c>
      <c r="C59" s="3" t="s">
        <v>11</v>
      </c>
      <c r="D59" s="3" t="s">
        <v>2</v>
      </c>
      <c r="E59" s="9">
        <v>-6.5000000000000002E-2</v>
      </c>
      <c r="F59" s="4"/>
      <c r="G59" s="4"/>
      <c r="H59" s="4">
        <v>-0.10299723859989585</v>
      </c>
      <c r="I59" s="9">
        <v>-9.5000000000000001E-2</v>
      </c>
      <c r="J59" s="5"/>
      <c r="K59" s="5"/>
      <c r="L59" s="5"/>
      <c r="M59" s="5">
        <f>[1]OPCF!H37</f>
        <v>-4.871748527624975E-2</v>
      </c>
    </row>
    <row r="60" spans="1:13" x14ac:dyDescent="0.3">
      <c r="A60" t="s">
        <v>29</v>
      </c>
      <c r="B60" s="2" t="s">
        <v>21</v>
      </c>
      <c r="C60" s="3" t="s">
        <v>11</v>
      </c>
      <c r="D60" s="3" t="s">
        <v>2</v>
      </c>
      <c r="E60" s="9">
        <v>0.214</v>
      </c>
      <c r="F60" s="4"/>
      <c r="G60" s="4"/>
      <c r="H60" s="4">
        <v>0.22148409255242213</v>
      </c>
      <c r="I60" s="9">
        <v>0.22052840525480616</v>
      </c>
      <c r="J60" s="5"/>
      <c r="K60" s="5"/>
      <c r="L60" s="5"/>
      <c r="M60" s="5">
        <f>[1]OPCF!H38</f>
        <v>0.2208878213682057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PRIOUR François FINANCES</dc:creator>
  <cp:lastModifiedBy>PRIOUR François FINANCES</cp:lastModifiedBy>
  <dcterms:created xsi:type="dcterms:W3CDTF">2025-07-25T15:49:27Z</dcterms:created>
  <dcterms:modified xsi:type="dcterms:W3CDTF">2026-09-02T10:16:47Z</dcterms:modified>
</cp:coreProperties>
</file>